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rik\Downloads\Excel-Charts\"/>
    </mc:Choice>
  </mc:AlternateContent>
  <xr:revisionPtr revIDLastSave="0" documentId="13_ncr:1_{9D96057B-16AB-49DD-BE30-5005B61A5496}" xr6:coauthVersionLast="47" xr6:coauthVersionMax="47" xr10:uidLastSave="{00000000-0000-0000-0000-000000000000}"/>
  <bookViews>
    <workbookView xWindow="-108" yWindow="-108" windowWidth="23256" windowHeight="12456" xr2:uid="{9E8726C9-B383-4AE8-A60E-1FB606589C67}"/>
  </bookViews>
  <sheets>
    <sheet name="Sheet1" sheetId="1" r:id="rId1"/>
  </sheets>
  <definedNames>
    <definedName name="_xlchart.v5.0" hidden="1">Sheet1!$A$20</definedName>
    <definedName name="_xlchart.v5.1" hidden="1">Sheet1!$A$21:$A$24</definedName>
    <definedName name="_xlchart.v5.2" hidden="1">Sheet1!$B$19</definedName>
    <definedName name="_xlchart.v5.3" hidden="1">Sheet1!$B$20</definedName>
    <definedName name="_xlchart.v5.4" hidden="1">Sheet1!$B$21:$B$24</definedName>
    <definedName name="_xlchart.v5.5" hidden="1">Sheet1!$C$19</definedName>
    <definedName name="_xlchart.v5.6" hidden="1">Sheet1!$C$20</definedName>
    <definedName name="_xlchart.v5.7" hidden="1">Sheet1!$C$21:$C$24</definedName>
    <definedName name="Slicer_Produc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 l="1" a="1"/>
  <c r="B16" i="1" s="1"/>
  <c r="A16" i="1" a="1"/>
  <c r="A16" i="1" s="1"/>
  <c r="A27" i="1"/>
  <c r="A31" i="1"/>
  <c r="A32" i="1"/>
  <c r="A33" i="1" a="1"/>
  <c r="A33" i="1" s="1"/>
  <c r="A34" i="1"/>
  <c r="A35" i="1"/>
  <c r="B21" i="1"/>
  <c r="A21" i="1"/>
  <c r="B23" i="1"/>
  <c r="C23" i="1"/>
  <c r="C24" i="1"/>
  <c r="C22" i="1"/>
  <c r="C21" i="1"/>
  <c r="B22" i="1"/>
  <c r="A23" i="1"/>
  <c r="A2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<sst xmlns="http://schemas.openxmlformats.org/spreadsheetml/2006/main" count="36" uniqueCount="27">
  <si>
    <t>ID</t>
  </si>
  <si>
    <t>Name</t>
  </si>
  <si>
    <t>Region</t>
  </si>
  <si>
    <t>Product</t>
  </si>
  <si>
    <t>Sales</t>
  </si>
  <si>
    <t>Quantity</t>
  </si>
  <si>
    <t>Date</t>
  </si>
  <si>
    <t>Ram</t>
  </si>
  <si>
    <t>South</t>
  </si>
  <si>
    <t>Apple</t>
  </si>
  <si>
    <t>Sita</t>
  </si>
  <si>
    <t>North</t>
  </si>
  <si>
    <t>Banana</t>
  </si>
  <si>
    <t>Ravi</t>
  </si>
  <si>
    <t>East</t>
  </si>
  <si>
    <t>Anu</t>
  </si>
  <si>
    <t>West</t>
  </si>
  <si>
    <t>Orange</t>
  </si>
  <si>
    <t>Kiran</t>
  </si>
  <si>
    <t>Meena</t>
  </si>
  <si>
    <t>Arjun</t>
  </si>
  <si>
    <t>Priya</t>
  </si>
  <si>
    <t>unique products</t>
  </si>
  <si>
    <t>Total_Sales by product</t>
  </si>
  <si>
    <t>Total quantity of product</t>
  </si>
  <si>
    <t>totalQuantities by regions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</si>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</sst>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 fillId="0" borderId="0" xfId="0" applyFont="1"/>
  </cellXfs>
  <cellStyles count="1">
    <cellStyle name="Normal" xfId="0" builtinId="0"/>
  </cellStyles>
  <dxfs count="10">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2.xml"/><Relationship Id="rId7" Type="http://schemas.openxmlformats.org/officeDocument/2006/relationships/sheetMetadata" Target="metadata.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Sales</c:v>
                </c:pt>
              </c:strCache>
            </c:strRef>
          </c:tx>
          <c:spPr>
            <a:solidFill>
              <a:schemeClr val="accent1"/>
            </a:solidFill>
            <a:ln>
              <a:noFill/>
            </a:ln>
            <a:effectLst/>
          </c:spPr>
          <c:invertIfNegative val="0"/>
          <c:cat>
            <c:multiLvlStrRef>
              <c:f>Sheet1!$B$2:$D$9</c:f>
              <c:multiLvlStrCache>
                <c:ptCount val="8"/>
                <c:lvl>
                  <c:pt idx="0">
                    <c:v>Apple</c:v>
                  </c:pt>
                  <c:pt idx="1">
                    <c:v>Banana</c:v>
                  </c:pt>
                  <c:pt idx="2">
                    <c:v>Apple</c:v>
                  </c:pt>
                  <c:pt idx="3">
                    <c:v>Orange</c:v>
                  </c:pt>
                  <c:pt idx="4">
                    <c:v>Banana</c:v>
                  </c:pt>
                  <c:pt idx="5">
                    <c:v>Apple</c:v>
                  </c:pt>
                  <c:pt idx="6">
                    <c:v>Orange</c:v>
                  </c:pt>
                  <c:pt idx="7">
                    <c:v>Apple</c:v>
                  </c:pt>
                </c:lvl>
                <c:lvl>
                  <c:pt idx="0">
                    <c:v>South</c:v>
                  </c:pt>
                  <c:pt idx="1">
                    <c:v>North</c:v>
                  </c:pt>
                  <c:pt idx="2">
                    <c:v>East</c:v>
                  </c:pt>
                  <c:pt idx="3">
                    <c:v>West</c:v>
                  </c:pt>
                  <c:pt idx="4">
                    <c:v>South</c:v>
                  </c:pt>
                  <c:pt idx="5">
                    <c:v>North</c:v>
                  </c:pt>
                  <c:pt idx="6">
                    <c:v>East</c:v>
                  </c:pt>
                  <c:pt idx="7">
                    <c:v>West</c:v>
                  </c:pt>
                </c:lvl>
                <c:lvl>
                  <c:pt idx="0">
                    <c:v>Ram</c:v>
                  </c:pt>
                  <c:pt idx="1">
                    <c:v>Sita</c:v>
                  </c:pt>
                  <c:pt idx="2">
                    <c:v>Ravi</c:v>
                  </c:pt>
                  <c:pt idx="3">
                    <c:v>Anu</c:v>
                  </c:pt>
                  <c:pt idx="4">
                    <c:v>Kiran</c:v>
                  </c:pt>
                  <c:pt idx="5">
                    <c:v>Meena</c:v>
                  </c:pt>
                  <c:pt idx="6">
                    <c:v>Arjun</c:v>
                  </c:pt>
                  <c:pt idx="7">
                    <c:v>Priya</c:v>
                  </c:pt>
                </c:lvl>
              </c:multiLvlStrCache>
            </c:multiLvlStrRef>
          </c:cat>
          <c:val>
            <c:numRef>
              <c:f>Sheet1!$E$2:$E$9</c:f>
              <c:numCache>
                <c:formatCode>General</c:formatCode>
                <c:ptCount val="8"/>
                <c:pt idx="0">
                  <c:v>500</c:v>
                </c:pt>
                <c:pt idx="1">
                  <c:v>300</c:v>
                </c:pt>
                <c:pt idx="2">
                  <c:v>700</c:v>
                </c:pt>
                <c:pt idx="3">
                  <c:v>400</c:v>
                </c:pt>
                <c:pt idx="4">
                  <c:v>200</c:v>
                </c:pt>
                <c:pt idx="5">
                  <c:v>800</c:v>
                </c:pt>
                <c:pt idx="6">
                  <c:v>600</c:v>
                </c:pt>
                <c:pt idx="7">
                  <c:v>900</c:v>
                </c:pt>
              </c:numCache>
            </c:numRef>
          </c:val>
          <c:extLst>
            <c:ext xmlns:c16="http://schemas.microsoft.com/office/drawing/2014/chart" uri="{C3380CC4-5D6E-409C-BE32-E72D297353CC}">
              <c16:uniqueId val="{00000000-2783-4805-956A-BE026C5E6FDB}"/>
            </c:ext>
          </c:extLst>
        </c:ser>
        <c:dLbls>
          <c:showLegendKey val="0"/>
          <c:showVal val="0"/>
          <c:showCatName val="0"/>
          <c:showSerName val="0"/>
          <c:showPercent val="0"/>
          <c:showBubbleSize val="0"/>
        </c:dLbls>
        <c:gapWidth val="219"/>
        <c:overlap val="-27"/>
        <c:axId val="354523952"/>
        <c:axId val="354525392"/>
      </c:barChart>
      <c:catAx>
        <c:axId val="35452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25392"/>
        <c:crosses val="autoZero"/>
        <c:auto val="1"/>
        <c:lblAlgn val="ctr"/>
        <c:lblOffset val="100"/>
        <c:noMultiLvlLbl val="0"/>
      </c:catAx>
      <c:valAx>
        <c:axId val="35452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2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15240</xdr:colOff>
      <xdr:row>0</xdr:row>
      <xdr:rowOff>19050</xdr:rowOff>
    </xdr:from>
    <xdr:to>
      <xdr:col>14</xdr:col>
      <xdr:colOff>320040</xdr:colOff>
      <xdr:row>15</xdr:row>
      <xdr:rowOff>19050</xdr:rowOff>
    </xdr:to>
    <xdr:graphicFrame macro="">
      <xdr:nvGraphicFramePr>
        <xdr:cNvPr id="2" name="Chart 1">
          <a:extLst>
            <a:ext uri="{FF2B5EF4-FFF2-40B4-BE49-F238E27FC236}">
              <a16:creationId xmlns:a16="http://schemas.microsoft.com/office/drawing/2014/main" id="{D3843EF0-0DBA-3131-4011-2EA792CF6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1173480</xdr:colOff>
      <xdr:row>15</xdr:row>
      <xdr:rowOff>0</xdr:rowOff>
    </xdr:from>
    <xdr:to>
      <xdr:col>7</xdr:col>
      <xdr:colOff>22860</xdr:colOff>
      <xdr:row>28</xdr:row>
      <xdr:rowOff>89535</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3252E551-4F29-1446-4288-2C66DD512D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20840" y="2743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30480</xdr:colOff>
      <xdr:row>15</xdr:row>
      <xdr:rowOff>0</xdr:rowOff>
    </xdr:from>
    <xdr:to>
      <xdr:col>4</xdr:col>
      <xdr:colOff>1143000</xdr:colOff>
      <xdr:row>28</xdr:row>
      <xdr:rowOff>89535</xdr:rowOff>
    </xdr:to>
    <mc:AlternateContent xmlns:mc="http://schemas.openxmlformats.org/markup-compatibility/2006">
      <mc:Choice xmlns:sle15="http://schemas.microsoft.com/office/drawing/2012/slicer" Requires="sle15">
        <xdr:graphicFrame macro="">
          <xdr:nvGraphicFramePr>
            <xdr:cNvPr id="4" name="Product">
              <a:extLst>
                <a:ext uri="{FF2B5EF4-FFF2-40B4-BE49-F238E27FC236}">
                  <a16:creationId xmlns:a16="http://schemas.microsoft.com/office/drawing/2014/main" id="{5A92AF24-FD9D-F6DA-3E10-1E1CF605B01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861560" y="2743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795C9E-94E5-4481-A4B8-9E9182295BE2}" sourceName="Region">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54D1B11-B43E-4BA2-92FC-C5ECC5063CA9}" sourceName="Product">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78DD54-6834-4E7B-9656-D10D21A0745A}" cache="Slicer_Region" caption="Region" rowHeight="234950"/>
  <slicer name="Product" xr10:uid="{490D49B9-0D05-470F-A3D3-A345A9641E83}"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5DFAC4-1793-4878-B4C1-E7792A1E0AC4}" name="Sales" displayName="Sales" ref="A1:G9" totalsRowShown="0" headerRowDxfId="1" dataDxfId="2">
  <autoFilter ref="A1:G9" xr:uid="{2C5DFAC4-1793-4878-B4C1-E7792A1E0AC4}"/>
  <tableColumns count="7">
    <tableColumn id="1" xr3:uid="{410E3C6C-896D-4AA7-992F-A1FA1431D99A}" name="ID" dataDxfId="9"/>
    <tableColumn id="2" xr3:uid="{55DD8862-F683-45A0-B6EE-8E2F7CFA2653}" name="Name" dataDxfId="8"/>
    <tableColumn id="3" xr3:uid="{523D059D-FF37-4FD3-BE09-74E977B5B01E}" name="Region" dataDxfId="7"/>
    <tableColumn id="4" xr3:uid="{B60DB7C7-ED14-493E-BEAB-9A65510A0C6F}" name="Product" dataDxfId="6"/>
    <tableColumn id="5" xr3:uid="{2B96D8C5-111C-4F7D-A594-0819247F9642}" name="Sales" dataDxfId="5"/>
    <tableColumn id="6" xr3:uid="{71679067-DB56-41AC-B1DF-3409CBDC4C19}" name="Quantity" dataDxfId="4"/>
    <tableColumn id="7" xr3:uid="{CF3D5C4A-3ADD-457E-BEFA-47564070EF65}" name="Date"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129818-DA68-475D-9889-54D13FD6ABA5}" name="Table4" displayName="Table4" ref="A20:C24" totalsRowShown="0" headerRowDxfId="0">
  <autoFilter ref="A20:C24" xr:uid="{18129818-DA68-475D-9889-54D13FD6ABA5}"/>
  <tableColumns count="3">
    <tableColumn id="1" xr3:uid="{9DA07C83-10AD-4476-8B4D-590F7B06FC6A}" name="Total_Sales by product"/>
    <tableColumn id="2" xr3:uid="{742CE15F-0FAC-436D-BD4C-BD5C1669307B}" name="Total quantity of product"/>
    <tableColumn id="3" xr3:uid="{AFEA1954-A5FA-40F9-9D9F-18679C29BB3E}" name="totalQuantities by region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1A5C70-5A22-4A58-9E29-5BAEAE0882AE}" name="Table5" displayName="Table5" ref="A26:A36" totalsRowShown="0">
  <autoFilter ref="A26:A36" xr:uid="{711A5C70-5A22-4A58-9E29-5BAEAE0882AE}"/>
  <tableColumns count="1">
    <tableColumn id="1" xr3:uid="{0FC1187E-9F6E-4B38-A3E4-424D5FF55D91}" name="Column1"/>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B440-F5E8-4636-80D4-9EDB71D7AA69}">
  <dimension ref="A1:G35"/>
  <sheetViews>
    <sheetView tabSelected="1" workbookViewId="0">
      <selection sqref="A1:G9"/>
    </sheetView>
  </sheetViews>
  <sheetFormatPr defaultRowHeight="14.4" x14ac:dyDescent="0.3"/>
  <cols>
    <col min="1" max="1" width="22" customWidth="1"/>
    <col min="2" max="2" width="24" customWidth="1"/>
    <col min="3" max="3" width="24.44140625" customWidth="1"/>
    <col min="4" max="4" width="10.44140625" customWidth="1"/>
    <col min="5" max="5" width="22.88671875" bestFit="1" customWidth="1"/>
    <col min="6" max="6" width="10.21875" customWidth="1"/>
    <col min="7" max="7" width="10.33203125" bestFit="1" customWidth="1"/>
  </cols>
  <sheetData>
    <row r="1" spans="1:7" x14ac:dyDescent="0.3">
      <c r="A1" s="1" t="s">
        <v>0</v>
      </c>
      <c r="B1" s="1" t="s">
        <v>1</v>
      </c>
      <c r="C1" s="1" t="s">
        <v>2</v>
      </c>
      <c r="D1" s="1" t="s">
        <v>3</v>
      </c>
      <c r="E1" s="1" t="s">
        <v>4</v>
      </c>
      <c r="F1" s="1" t="s">
        <v>5</v>
      </c>
      <c r="G1" s="1" t="s">
        <v>6</v>
      </c>
    </row>
    <row r="2" spans="1:7" x14ac:dyDescent="0.3">
      <c r="A2" s="2">
        <v>1</v>
      </c>
      <c r="B2" s="2" t="s">
        <v>7</v>
      </c>
      <c r="C2" s="2" t="s">
        <v>8</v>
      </c>
      <c r="D2" s="2" t="s">
        <v>9</v>
      </c>
      <c r="E2" s="2">
        <v>500</v>
      </c>
      <c r="F2" s="2">
        <v>5</v>
      </c>
      <c r="G2" s="3">
        <v>45658</v>
      </c>
    </row>
    <row r="3" spans="1:7" x14ac:dyDescent="0.3">
      <c r="A3" s="2">
        <v>2</v>
      </c>
      <c r="B3" s="2" t="s">
        <v>10</v>
      </c>
      <c r="C3" s="2" t="s">
        <v>11</v>
      </c>
      <c r="D3" s="2" t="s">
        <v>12</v>
      </c>
      <c r="E3" s="2">
        <v>300</v>
      </c>
      <c r="F3" s="2">
        <v>3</v>
      </c>
      <c r="G3" s="3">
        <v>45659</v>
      </c>
    </row>
    <row r="4" spans="1:7" x14ac:dyDescent="0.3">
      <c r="A4" s="2">
        <v>3</v>
      </c>
      <c r="B4" s="2" t="s">
        <v>13</v>
      </c>
      <c r="C4" s="2" t="s">
        <v>14</v>
      </c>
      <c r="D4" s="2" t="s">
        <v>9</v>
      </c>
      <c r="E4" s="2">
        <v>700</v>
      </c>
      <c r="F4" s="2">
        <v>7</v>
      </c>
      <c r="G4" s="3">
        <v>45660</v>
      </c>
    </row>
    <row r="5" spans="1:7" x14ac:dyDescent="0.3">
      <c r="A5" s="2">
        <v>4</v>
      </c>
      <c r="B5" s="2" t="s">
        <v>15</v>
      </c>
      <c r="C5" s="2" t="s">
        <v>16</v>
      </c>
      <c r="D5" s="2" t="s">
        <v>17</v>
      </c>
      <c r="E5" s="2">
        <v>400</v>
      </c>
      <c r="F5" s="2">
        <v>4</v>
      </c>
      <c r="G5" s="3">
        <v>45661</v>
      </c>
    </row>
    <row r="6" spans="1:7" x14ac:dyDescent="0.3">
      <c r="A6" s="2">
        <v>5</v>
      </c>
      <c r="B6" s="2" t="s">
        <v>18</v>
      </c>
      <c r="C6" s="2" t="s">
        <v>8</v>
      </c>
      <c r="D6" s="2" t="s">
        <v>12</v>
      </c>
      <c r="E6" s="2">
        <v>200</v>
      </c>
      <c r="F6" s="2">
        <v>2</v>
      </c>
      <c r="G6" s="3">
        <v>45662</v>
      </c>
    </row>
    <row r="7" spans="1:7" x14ac:dyDescent="0.3">
      <c r="A7" s="2">
        <v>6</v>
      </c>
      <c r="B7" s="2" t="s">
        <v>19</v>
      </c>
      <c r="C7" s="2" t="s">
        <v>11</v>
      </c>
      <c r="D7" s="2" t="s">
        <v>9</v>
      </c>
      <c r="E7" s="2">
        <v>800</v>
      </c>
      <c r="F7" s="2">
        <v>8</v>
      </c>
      <c r="G7" s="3">
        <v>45663</v>
      </c>
    </row>
    <row r="8" spans="1:7" x14ac:dyDescent="0.3">
      <c r="A8" s="2">
        <v>7</v>
      </c>
      <c r="B8" s="2" t="s">
        <v>20</v>
      </c>
      <c r="C8" s="2" t="s">
        <v>14</v>
      </c>
      <c r="D8" s="2" t="s">
        <v>17</v>
      </c>
      <c r="E8" s="2">
        <v>600</v>
      </c>
      <c r="F8" s="2">
        <v>6</v>
      </c>
      <c r="G8" s="3">
        <v>45664</v>
      </c>
    </row>
    <row r="9" spans="1:7" x14ac:dyDescent="0.3">
      <c r="A9" s="2">
        <v>8</v>
      </c>
      <c r="B9" s="2" t="s">
        <v>21</v>
      </c>
      <c r="C9" s="2" t="s">
        <v>16</v>
      </c>
      <c r="D9" s="2" t="s">
        <v>9</v>
      </c>
      <c r="E9" s="2">
        <v>900</v>
      </c>
      <c r="F9" s="2">
        <v>9</v>
      </c>
      <c r="G9" s="3">
        <v>45665</v>
      </c>
    </row>
    <row r="15" spans="1:7" x14ac:dyDescent="0.3">
      <c r="A15" s="4" t="s">
        <v>22</v>
      </c>
      <c r="B15" s="4"/>
    </row>
    <row r="16" spans="1:7" x14ac:dyDescent="0.3">
      <c r="A16" t="str" cm="1">
        <f t="array" ref="A16:A18">_xlfn.UNIQUE(Sales[Product])</f>
        <v>Apple</v>
      </c>
      <c r="B16" t="str" cm="1">
        <f t="array" ref="B16:D16">TRANSPOSE(_xlfn.UNIQUE(Sales[Product]))</f>
        <v>Apple</v>
      </c>
      <c r="C16" t="str">
        <v>Banana</v>
      </c>
      <c r="D16" t="str">
        <v>Orange</v>
      </c>
    </row>
    <row r="17" spans="1:3" x14ac:dyDescent="0.3">
      <c r="A17" t="str">
        <v>Banana</v>
      </c>
    </row>
    <row r="18" spans="1:3" x14ac:dyDescent="0.3">
      <c r="A18" t="str">
        <v>Orange</v>
      </c>
    </row>
    <row r="20" spans="1:3" x14ac:dyDescent="0.3">
      <c r="A20" s="4" t="s">
        <v>23</v>
      </c>
      <c r="B20" s="4" t="s">
        <v>24</v>
      </c>
      <c r="C20" s="4" t="s">
        <v>25</v>
      </c>
    </row>
    <row r="21" spans="1:3" x14ac:dyDescent="0.3">
      <c r="A21">
        <f>SUMIF(Sales[Product],"Apple",Sales[Sales])</f>
        <v>2900</v>
      </c>
      <c r="B21">
        <f>SUMIFS(Sales[Quantity],Sales[Product],"Apple")</f>
        <v>29</v>
      </c>
      <c r="C21">
        <f>SUMIFS(Sales[Quantity],Sales[Region],"South")</f>
        <v>7</v>
      </c>
    </row>
    <row r="22" spans="1:3" x14ac:dyDescent="0.3">
      <c r="A22">
        <f>SUMIF(Sales[Product],"Orange",Sales[Sales])</f>
        <v>1000</v>
      </c>
      <c r="B22">
        <f>SUMIFS(Sales[Quantity],Sales[Product],"Orange")</f>
        <v>10</v>
      </c>
      <c r="C22">
        <f>SUMIFS(Sales[Quantity],Sales[Region],"North")</f>
        <v>11</v>
      </c>
    </row>
    <row r="23" spans="1:3" x14ac:dyDescent="0.3">
      <c r="A23">
        <f>SUMIF(Sales[Product],"Banana",Sales[Sales])</f>
        <v>500</v>
      </c>
      <c r="B23">
        <f>SUMIFS(Sales[Quantity],Sales[Product],"Banana")</f>
        <v>5</v>
      </c>
      <c r="C23">
        <f>SUMIFS(Sales[Quantity],Sales[Region],"East")</f>
        <v>13</v>
      </c>
    </row>
    <row r="24" spans="1:3" x14ac:dyDescent="0.3">
      <c r="C24">
        <f>SUMIFS(Sales[Quantity],Sales[Region],"West")</f>
        <v>13</v>
      </c>
    </row>
    <row r="26" spans="1:3" x14ac:dyDescent="0.3">
      <c r="A26" t="s">
        <v>26</v>
      </c>
    </row>
    <row r="27" spans="1:3" x14ac:dyDescent="0.3">
      <c r="A27">
        <f>AVERAGEIFS(Sales[Sales],Sales[Product],D2,Sales[Region],C2)</f>
        <v>500</v>
      </c>
    </row>
    <row r="31" spans="1:3" x14ac:dyDescent="0.3">
      <c r="A31" t="str">
        <f>VLOOKUP(A6,Sales[#All],4,0)</f>
        <v>Banana</v>
      </c>
    </row>
    <row r="32" spans="1:3" x14ac:dyDescent="0.3">
      <c r="A32" t="str">
        <f>VLOOKUP(2,Sales[#All],3,0)</f>
        <v>North</v>
      </c>
    </row>
    <row r="33" spans="1:1" x14ac:dyDescent="0.3">
      <c r="A33" t="str" cm="1">
        <f t="array" ref="A33">_xlfn.XLOOKUP(5,Sales[ID],Sales[Name]&amp;" "&amp;Sales[Region]&amp;" "&amp;Sales[Product],"not found",0)</f>
        <v>Kiran South Banana</v>
      </c>
    </row>
    <row r="34" spans="1:1" x14ac:dyDescent="0.3">
      <c r="A34">
        <f>MATCH(5,Sales[ID],0)</f>
        <v>5</v>
      </c>
    </row>
    <row r="35" spans="1:1" x14ac:dyDescent="0.3">
      <c r="A35" t="str">
        <f>INDEX(Sales[Product],MATCH(5,Sales[ID],0))</f>
        <v>Banana</v>
      </c>
    </row>
  </sheetData>
  <pageMargins left="0.7" right="0.7" top="0.75" bottom="0.75" header="0.3" footer="0.3"/>
  <drawing r:id="rId1"/>
  <tableParts count="3">
    <tablePart r:id="rId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sarika basireddy</dc:creator>
  <cp:lastModifiedBy>sarika basireddy</cp:lastModifiedBy>
  <dcterms:created xsi:type="dcterms:W3CDTF">2026-05-05T15:55:21Z</dcterms:created>
  <dcterms:modified xsi:type="dcterms:W3CDTF">2026-05-05T17:47:35Z</dcterms:modified>
</cp:coreProperties>
</file>