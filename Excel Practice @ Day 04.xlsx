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k\Downloads\Excel-Charts\"/>
    </mc:Choice>
  </mc:AlternateContent>
  <xr:revisionPtr revIDLastSave="0" documentId="13_ncr:1_{F09E7B1C-A521-4991-97DD-A18A42466E0A}" xr6:coauthVersionLast="47" xr6:coauthVersionMax="47" xr10:uidLastSave="{00000000-0000-0000-0000-000000000000}"/>
  <bookViews>
    <workbookView xWindow="-108" yWindow="-108" windowWidth="23256" windowHeight="12456" activeTab="5" xr2:uid="{F2251847-4939-4738-9BAE-BB9233F399C5}"/>
  </bookViews>
  <sheets>
    <sheet name="Vlookup" sheetId="1" r:id="rId1"/>
    <sheet name="Sheet1" sheetId="7" r:id="rId2"/>
    <sheet name="Hlookup" sheetId="2" r:id="rId3"/>
    <sheet name="Xlookup" sheetId="3" r:id="rId4"/>
    <sheet name="Practice" sheetId="4" r:id="rId5"/>
    <sheet name="Index, Match" sheetId="5" r:id="rId6"/>
    <sheet name="Practice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5" l="1"/>
  <c r="I11" i="6"/>
  <c r="I12" i="6"/>
  <c r="I13" i="6"/>
  <c r="I14" i="6"/>
  <c r="I10" i="6"/>
  <c r="H11" i="6"/>
  <c r="H12" i="6"/>
  <c r="H13" i="6"/>
  <c r="H14" i="6"/>
  <c r="H10" i="6"/>
  <c r="D16" i="6"/>
  <c r="D14" i="6"/>
  <c r="D12" i="6"/>
  <c r="D10" i="6"/>
  <c r="G11" i="6"/>
  <c r="G12" i="6"/>
  <c r="G13" i="6"/>
  <c r="G14" i="6"/>
  <c r="G10" i="6"/>
  <c r="F11" i="6"/>
  <c r="F12" i="6"/>
  <c r="F13" i="6"/>
  <c r="F14" i="6"/>
  <c r="F10" i="6"/>
  <c r="K8" i="5"/>
  <c r="K9" i="5"/>
  <c r="K10" i="5"/>
  <c r="I11" i="4"/>
  <c r="I12" i="4"/>
  <c r="I13" i="4"/>
  <c r="I14" i="4"/>
  <c r="I10" i="4"/>
  <c r="L3" i="4"/>
  <c r="L4" i="4"/>
  <c r="L5" i="4"/>
  <c r="L6" i="4"/>
  <c r="L2" i="4"/>
  <c r="I4" i="4"/>
  <c r="I5" i="4"/>
  <c r="I6" i="4"/>
  <c r="I2" i="4"/>
  <c r="I3" i="4"/>
  <c r="J3" i="4"/>
  <c r="J4" i="4"/>
  <c r="J5" i="4"/>
  <c r="J6" i="4"/>
  <c r="J2" i="4"/>
  <c r="K2" i="4"/>
  <c r="K3" i="4"/>
  <c r="K4" i="4"/>
  <c r="K5" i="4"/>
  <c r="K6" i="4"/>
  <c r="C7" i="2"/>
  <c r="B8" i="2"/>
  <c r="B9" i="2"/>
  <c r="B10" i="2"/>
  <c r="C8" i="2"/>
  <c r="C9" i="2"/>
  <c r="C10" i="2"/>
  <c r="B7" i="2"/>
  <c r="F14" i="1"/>
  <c r="F12" i="1"/>
  <c r="F10" i="1"/>
  <c r="F9" i="1"/>
  <c r="F8" i="1"/>
  <c r="G8" i="1" l="1"/>
</calcChain>
</file>

<file path=xl/sharedStrings.xml><?xml version="1.0" encoding="utf-8"?>
<sst xmlns="http://schemas.openxmlformats.org/spreadsheetml/2006/main" count="194" uniqueCount="87">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</sst>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6"/>
  <sheetViews>
    <sheetView zoomScaleNormal="100" workbookViewId="0">
      <selection activeCell="M20" sqref="M20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9.77734375" bestFit="1" customWidth="1"/>
    <col min="5" max="5" width="6.109375" bestFit="1" customWidth="1"/>
    <col min="6" max="6" width="19.2187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 t="str">
        <f>VLOOKUP(B2,B1:E5,2,0)</f>
        <v>HR</v>
      </c>
      <c r="G8" t="str">
        <f>VLOOKUP(A4,A1:E5,2,FALSE)</f>
        <v>Anil</v>
      </c>
    </row>
    <row r="9" spans="1:7">
      <c r="A9" t="s">
        <v>21</v>
      </c>
      <c r="F9" s="6">
        <f>_xlfn.XLOOKUP(B3,B1:B5,E1:E5,0)</f>
        <v>55000</v>
      </c>
    </row>
    <row r="10" spans="1:7">
      <c r="A10" t="s">
        <v>22</v>
      </c>
      <c r="F10" s="6" t="str">
        <f>_xlfn.XLOOKUP(A4,A1:A5,B1:B5,0)</f>
        <v>Anil</v>
      </c>
    </row>
    <row r="11" spans="1:7">
      <c r="A11" t="s">
        <v>23</v>
      </c>
      <c r="F11" s="6"/>
    </row>
    <row r="12" spans="1:7">
      <c r="A12" t="s">
        <v>24</v>
      </c>
      <c r="F12" s="6" t="str">
        <f>_xlfn.XLOOKUP(A5,A1:A5,C1:C5,0)</f>
        <v>Sales</v>
      </c>
    </row>
    <row r="13" spans="1:7">
      <c r="A13" t="s">
        <v>25</v>
      </c>
      <c r="F13" s="6"/>
    </row>
    <row r="14" spans="1:7">
      <c r="A14" t="s">
        <v>26</v>
      </c>
      <c r="F14" s="6" t="str">
        <f>IFERROR(VLOOKUP(A6,A1:E6,4,0),"Not a value in the row")</f>
        <v>Not a value in the row</v>
      </c>
    </row>
    <row r="15" spans="1:7">
      <c r="F15" s="6"/>
    </row>
    <row r="16" spans="1:7">
      <c r="F1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4561-4E12-4C4E-B426-0304EC4AFF93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C7" sqref="C7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  <c r="B7" t="str">
        <f>HLOOKUP($A7,$A$1:$E$4,2,0)</f>
        <v>Laptop</v>
      </c>
      <c r="C7">
        <f>HLOOKUP($A7,$A$1:$E$4,3,0)</f>
        <v>55000</v>
      </c>
    </row>
    <row r="8" spans="1:5">
      <c r="A8" s="7" t="s">
        <v>29</v>
      </c>
      <c r="B8" t="str">
        <f t="shared" ref="B8:B10" si="0">HLOOKUP($A8,$A$1:$E$4,2,0)</f>
        <v>Mouse</v>
      </c>
      <c r="C8">
        <f t="shared" ref="C8:C10" si="1">HLOOKUP($A8,$A$1:$E$4,3,0)</f>
        <v>800</v>
      </c>
    </row>
    <row r="9" spans="1:5">
      <c r="A9" s="7" t="s">
        <v>30</v>
      </c>
      <c r="B9" t="str">
        <f t="shared" si="0"/>
        <v>Keyboard</v>
      </c>
      <c r="C9">
        <f t="shared" si="1"/>
        <v>1500</v>
      </c>
    </row>
    <row r="10" spans="1:5">
      <c r="A10" s="7" t="s">
        <v>31</v>
      </c>
      <c r="B10" t="str">
        <f t="shared" si="0"/>
        <v>Monitor</v>
      </c>
      <c r="C10">
        <f t="shared" si="1"/>
        <v>12000</v>
      </c>
    </row>
    <row r="11" spans="1:5">
      <c r="A11" s="7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workbookViewId="0">
      <selection activeCell="D2" sqref="D2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F32" sqref="F32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>
        <f>_xlfn.XLOOKUP($H2,$A$1:$A$16,$B$1:$B$16,"Not in row",0)</f>
        <v>Keyboard</v>
      </c>
      <c r="J2" s="5" t="str">
        <f>_xlfn.XLOOKUP($H2,$A$1:$A$16,$C$1:$C$16,"Not found",0)</f>
        <v>Accessories</v>
      </c>
      <c r="K2" s="5" t="str">
        <f>_xlfn.XLOOKUP($H2,$A$2:$A$16,$D$2:$D$16)</f>
        <v>HP</v>
      </c>
      <c r="L2" s="5">
        <f>_xlfn.XLOOKUP($H2,$A$1:$A$16,$E$1:$E$16,"Not Found",0)</f>
        <v>1800</v>
      </c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>
        <f t="shared" ref="I3:I6" si="0">_xlfn.XLOOKUP($H3,$A$1:$A$16,$B$1:$B$16,"Not in row",0)</f>
        <v>Headphones</v>
      </c>
      <c r="J3" s="5" t="str">
        <f t="shared" ref="J3:J6" si="1">_xlfn.XLOOKUP($H3,$A$1:$A$16,$C$1:$C$16,"Not found",0)</f>
        <v>Accessories</v>
      </c>
      <c r="K3" s="5" t="str">
        <f t="shared" ref="K3:K6" si="2">_xlfn.XLOOKUP($H3,$A$2:$A$16,$D$2:$D$16)</f>
        <v>Sony</v>
      </c>
      <c r="L3" s="5">
        <f t="shared" ref="L3:L6" si="3">_xlfn.XLOOKUP($H3,$A$1:$A$16,$E$1:$E$16,"Not Found",0)</f>
        <v>3500</v>
      </c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>
        <f t="shared" si="0"/>
        <v>Tablet</v>
      </c>
      <c r="J4" s="5" t="str">
        <f t="shared" si="1"/>
        <v>Electronics</v>
      </c>
      <c r="K4" s="5" t="str">
        <f t="shared" si="2"/>
        <v>Lenovo</v>
      </c>
      <c r="L4" s="5">
        <f t="shared" si="3"/>
        <v>28000</v>
      </c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>
        <f t="shared" si="0"/>
        <v>SSD</v>
      </c>
      <c r="J5" s="5" t="str">
        <f t="shared" si="1"/>
        <v>Storage</v>
      </c>
      <c r="K5" s="5" t="str">
        <f t="shared" si="2"/>
        <v>Samsung</v>
      </c>
      <c r="L5" s="5">
        <f t="shared" si="3"/>
        <v>7500</v>
      </c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 t="str">
        <f t="shared" si="0"/>
        <v>Laptop</v>
      </c>
      <c r="J6" s="5" t="str">
        <f t="shared" si="1"/>
        <v>Electronics</v>
      </c>
      <c r="K6" s="5" t="str">
        <f t="shared" si="2"/>
        <v>Dell</v>
      </c>
      <c r="L6" s="5">
        <f t="shared" si="3"/>
        <v>55000</v>
      </c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 t="str">
        <f>_xlfn.XLOOKUP($H10,$B$1:$B$16,$A$1:$A$16,0)</f>
        <v>P103</v>
      </c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 t="str">
        <f t="shared" ref="I11:I14" si="4">_xlfn.XLOOKUP($H11,$B$1:$B$16,$A$1:$A$16,0)</f>
        <v>P105</v>
      </c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 t="str">
        <f t="shared" si="4"/>
        <v>P112</v>
      </c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 t="str">
        <f t="shared" si="4"/>
        <v>P113</v>
      </c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 t="str">
        <f t="shared" si="4"/>
        <v>P107</v>
      </c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tabSelected="1" workbookViewId="0">
      <selection activeCell="K7" sqref="K7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>
        <f>MATCH($J7,Practice2!$B$2:$B$6,0)</f>
        <v>1</v>
      </c>
      <c r="L7" s="11"/>
    </row>
    <row r="8" spans="10:12" ht="21">
      <c r="J8" s="10" t="s">
        <v>34</v>
      </c>
      <c r="K8" s="11" t="e">
        <f>MATCH($J8,Practice2!$B$1:$B$6,0)</f>
        <v>#N/A</v>
      </c>
      <c r="L8" s="11"/>
    </row>
    <row r="9" spans="10:12" ht="21">
      <c r="J9" s="10" t="s">
        <v>35</v>
      </c>
      <c r="K9" s="11">
        <f>MATCH($J9,Practice2!$B$2:$B$6,0)</f>
        <v>3</v>
      </c>
      <c r="L9" s="11"/>
    </row>
    <row r="10" spans="10:12" ht="21">
      <c r="J10" s="10" t="s">
        <v>36</v>
      </c>
      <c r="K10" s="11">
        <f>MATCH($J10,Practice2!$B$2:$B$6,0)</f>
        <v>4</v>
      </c>
      <c r="L1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J14" sqref="J14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D10" t="str">
        <f>_xlfn.XLOOKUP(B3,B1:B6,C1:C6,0)</f>
        <v>Accessories</v>
      </c>
      <c r="E10" s="1" t="s">
        <v>28</v>
      </c>
      <c r="F10" s="6" t="str">
        <f>VLOOKUP($A2,$A$1:$E$6,2,0)</f>
        <v>Laptop</v>
      </c>
      <c r="G10" s="6" t="str">
        <f>VLOOKUP($E10,$A$1:$E$6,3,0)</f>
        <v>Electronics</v>
      </c>
      <c r="H10" s="6" t="str">
        <f>_xlfn.XLOOKUP($A2,Practice2!$A$1:$A$6,Practice2!$D$1:$D$6,0)</f>
        <v>Dell</v>
      </c>
      <c r="I10" s="6">
        <f>INDEX($E$1:$E$6,MATCH($E10,$A$1:$A$6,0))</f>
        <v>55000</v>
      </c>
    </row>
    <row r="11" spans="1:9">
      <c r="E11" s="1" t="s">
        <v>29</v>
      </c>
      <c r="F11" s="6" t="str">
        <f t="shared" ref="F11:F14" si="0">VLOOKUP($A3,$A$1:$E$6,2,0)</f>
        <v>Wireless Mouse</v>
      </c>
      <c r="G11" s="6" t="str">
        <f t="shared" ref="G11:G14" si="1">VLOOKUP($E11,$A$1:$E$6,3,0)</f>
        <v>Accessories</v>
      </c>
      <c r="H11" s="6" t="str">
        <f>_xlfn.XLOOKUP($A3,Practice2!$A$1:$A$6,Practice2!$D$1:$D$6,0)</f>
        <v>Logitech</v>
      </c>
      <c r="I11" s="6">
        <f t="shared" ref="I11:I14" si="2">INDEX($E$1:$E$6,MATCH($E11,$A$1:$A$6,0))</f>
        <v>1200</v>
      </c>
    </row>
    <row r="12" spans="1:9">
      <c r="A12" t="s">
        <v>84</v>
      </c>
      <c r="D12" t="str">
        <f>_xlfn.XLOOKUP(B5,B1:B6,D1:D6,0)</f>
        <v>Samsung</v>
      </c>
      <c r="E12" s="1" t="s">
        <v>30</v>
      </c>
      <c r="F12" s="6" t="str">
        <f t="shared" si="0"/>
        <v>Keyboard</v>
      </c>
      <c r="G12" s="6" t="str">
        <f t="shared" si="1"/>
        <v>Accessories</v>
      </c>
      <c r="H12" s="6" t="str">
        <f>_xlfn.XLOOKUP($A4,Practice2!$A$1:$A$6,Practice2!$D$1:$D$6,0)</f>
        <v>HP</v>
      </c>
      <c r="I12" s="6">
        <f t="shared" si="2"/>
        <v>1800</v>
      </c>
    </row>
    <row r="13" spans="1:9">
      <c r="E13" s="1" t="s">
        <v>31</v>
      </c>
      <c r="F13" s="6" t="str">
        <f t="shared" si="0"/>
        <v>Monitor</v>
      </c>
      <c r="G13" s="6" t="str">
        <f t="shared" si="1"/>
        <v>Electronics</v>
      </c>
      <c r="H13" s="6" t="str">
        <f>_xlfn.XLOOKUP($A5,Practice2!$A$1:$A$6,Practice2!$D$1:$D$6,0)</f>
        <v>Samsung</v>
      </c>
      <c r="I13" s="6">
        <f t="shared" si="2"/>
        <v>15000</v>
      </c>
    </row>
    <row r="14" spans="1:9">
      <c r="A14" t="s">
        <v>85</v>
      </c>
      <c r="D14" t="str">
        <f>_xlfn.XLOOKUP("Tablet",B1:B6,E1:E6,"No Product",0)</f>
        <v>No Product</v>
      </c>
      <c r="E14" s="1" t="s">
        <v>49</v>
      </c>
      <c r="F14" s="6" t="str">
        <f t="shared" si="0"/>
        <v>Printer</v>
      </c>
      <c r="G14" s="6" t="str">
        <f t="shared" si="1"/>
        <v>Electronics</v>
      </c>
      <c r="H14" s="6" t="str">
        <f>_xlfn.XLOOKUP($A6,Practice2!$A$1:$A$6,Practice2!$D$1:$D$6,0)</f>
        <v>Canon</v>
      </c>
      <c r="I14" s="6">
        <f t="shared" si="2"/>
        <v>12500</v>
      </c>
    </row>
    <row r="16" spans="1:9">
      <c r="A16" t="s">
        <v>86</v>
      </c>
      <c r="D16" t="str">
        <f>_xlfn.XLOOKUP(D4,D1:D6,A1:A6,0)</f>
        <v>P103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Sheet1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sarika basireddy</cp:lastModifiedBy>
  <dcterms:created xsi:type="dcterms:W3CDTF">2026-09-09T14:34:29Z</dcterms:created>
  <dcterms:modified xsi:type="dcterms:W3CDTF">2026-09-29T06:14:25Z</dcterms:modified>
</cp:coreProperties>
</file>